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Book\Documents\Tecnologias de Gestion de Info\"/>
    </mc:Choice>
  </mc:AlternateContent>
  <xr:revisionPtr revIDLastSave="0" documentId="8_{C3383235-3955-4DFF-B91A-52C2236DFA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Datos_Importación!$C$3:$K$53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3" l="1"/>
  <c r="C4" i="3"/>
  <c r="F58" i="2" l="1"/>
  <c r="F57" i="2"/>
  <c r="F56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J4" i="2"/>
  <c r="C2" i="3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" i="2"/>
  <c r="K4" i="2" l="1"/>
</calcChain>
</file>

<file path=xl/sharedStrings.xml><?xml version="1.0" encoding="utf-8"?>
<sst xmlns="http://schemas.openxmlformats.org/spreadsheetml/2006/main" count="274" uniqueCount="134">
  <si>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</si>
  <si>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</si>
  <si>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</si>
  <si>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</si>
  <si>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</si>
  <si>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</si>
  <si>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</si>
  <si>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</si>
  <si>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</si>
  <si>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</si>
  <si>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</si>
  <si>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</si>
  <si>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</si>
  <si>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</si>
  <si>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</si>
  <si>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</si>
  <si>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</si>
  <si>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</si>
  <si>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</si>
  <si>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</si>
  <si>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</si>
  <si>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</si>
  <si>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</si>
  <si>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</si>
  <si>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</si>
  <si>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</si>
  <si>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</si>
  <si>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</si>
  <si>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</si>
  <si>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</si>
  <si>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</si>
  <si>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</si>
  <si>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</si>
  <si>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</si>
  <si>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</si>
  <si>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</si>
  <si>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</si>
  <si>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</si>
  <si>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</si>
  <si>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</si>
  <si>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</si>
  <si>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</si>
  <si>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</si>
  <si>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</si>
  <si>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</si>
  <si>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</si>
  <si>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</si>
  <si>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</si>
  <si>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</si>
  <si>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</si>
  <si>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</si>
  <si>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</si>
  <si>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</si>
  <si>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</si>
  <si>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</si>
  <si>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</si>
  <si>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</si>
  <si>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</si>
  <si>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</si>
  <si>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</si>
  <si>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</si>
  <si>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</si>
  <si>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</si>
  <si>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</si>
  <si>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</si>
  <si>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</si>
  <si>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</si>
  <si>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</si>
  <si>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</si>
  <si>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</si>
  <si>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</si>
  <si>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</si>
  <si>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</si>
  <si>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</si>
  <si>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</si>
  <si>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</si>
  <si>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</si>
  <si>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</si>
  <si>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</si>
  <si>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</si>
  <si>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</si>
  <si>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</si>
  <si>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</si>
  <si>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</si>
  <si>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</si>
  <si>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</si>
  <si>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</si>
  <si>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</si>
  <si>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</si>
  <si>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</si>
  <si>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</si>
  <si>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</si>
  <si>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</si>
  <si>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</si>
  <si>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</si>
  <si>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</si>
  <si>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</si>
  <si>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</si>
  <si>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</si>
  <si>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</si>
  <si>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</si>
  <si>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</si>
  <si>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</si>
  <si>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</si>
  <si>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</si>
  <si>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</si>
  <si>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</si>
  <si>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</si>
  <si>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</si>
  <si>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</si>
  <si>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</si>
  <si>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</si>
  <si>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</si>
  <si>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</si>
  <si>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</si>
  <si>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</si>
  <si>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</si>
  <si>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</si>
  <si>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</si>
  <si>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</si>
  <si>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Precio promedio de los productos.</t>
  </si>
  <si>
    <t>Cantidad de productos registrados.</t>
  </si>
  <si>
    <t>Importe correspondiente a los productos de México.</t>
  </si>
  <si>
    <t>1. ¿Cuál es el importe total de la operación?</t>
  </si>
  <si>
    <t>2. ¿Cuál es el producto con mayor importe?</t>
  </si>
  <si>
    <t>3. ¿Cuál es el precio promedio?</t>
  </si>
  <si>
    <t>4. ¿Cuántos productos están registrados?</t>
  </si>
  <si>
    <t>5. ¿Por qué es importante analizar esta información antes de realizar una operación comercial?</t>
  </si>
  <si>
    <t>Etiquetas de fila</t>
  </si>
  <si>
    <t>Total general</t>
  </si>
  <si>
    <t>Suma de Importe Total (USD)</t>
  </si>
  <si>
    <t>Es importante analizar esta información antes de realizar una operación comercial porque permite conocer los costos, precios y cantidades involucradas,</t>
  </si>
  <si>
    <t xml:space="preserve">identificar los productos de mayor valor y evaluar si la operación es conveniente. Esto facilita una mejor planificación, </t>
  </si>
  <si>
    <t>ayuda a tomar decisiones basadas en datos y reduce posibles riesgos o pérdidas 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</si>
</sst>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$#,##0.00"/>
    <numFmt numFmtId="173" formatCode="[$$-409]#,##0.00"/>
    <numFmt numFmtId="175" formatCode="[$$-409]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3E3"/>
        <bgColor rgb="FFFFE3E3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8ABAB"/>
      </left>
      <right style="thin">
        <color rgb="FFF8ABAB"/>
      </right>
      <top style="thin">
        <color rgb="FFF8ABAB"/>
      </top>
      <bottom style="thin">
        <color rgb="FFF8ABAB"/>
      </bottom>
      <diagonal/>
    </border>
    <border>
      <left style="thin">
        <color rgb="FFF8ABAB"/>
      </left>
      <right/>
      <top style="thin">
        <color rgb="FFF8ABAB"/>
      </top>
      <bottom style="thin">
        <color rgb="FFF8ABAB"/>
      </bottom>
      <diagonal/>
    </border>
    <border>
      <left style="thin">
        <color rgb="FFF8ABAB"/>
      </left>
      <right style="thin">
        <color rgb="FFF8ABAB"/>
      </right>
      <top style="thin">
        <color rgb="FFF8ABAB"/>
      </top>
      <bottom/>
      <diagonal/>
    </border>
    <border>
      <left style="thin">
        <color rgb="FFF8ABAB"/>
      </left>
      <right style="thin">
        <color rgb="FFF8ABAB"/>
      </right>
      <top/>
      <bottom/>
      <diagonal/>
    </border>
    <border>
      <left style="thin">
        <color rgb="FFF8ABAB"/>
      </left>
      <right style="thin">
        <color rgb="FFF8ABAB"/>
      </right>
      <top/>
      <bottom style="thin">
        <color rgb="FFF8ABAB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/>
    <xf numFmtId="164" fontId="0" fillId="0" borderId="0" xfId="0" applyNumberFormat="1" applyBorder="1" applyAlignment="1">
      <alignment vertical="center"/>
    </xf>
    <xf numFmtId="0" fontId="4" fillId="3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73" fontId="0" fillId="0" borderId="0" xfId="0" applyNumberFormat="1"/>
    <xf numFmtId="0" fontId="4" fillId="3" borderId="3" xfId="0" applyFont="1" applyFill="1" applyBorder="1"/>
    <xf numFmtId="43" fontId="3" fillId="4" borderId="4" xfId="1" applyFont="1" applyFill="1" applyBorder="1"/>
    <xf numFmtId="43" fontId="3" fillId="4" borderId="5" xfId="1" applyFont="1" applyFill="1" applyBorder="1"/>
    <xf numFmtId="43" fontId="3" fillId="4" borderId="6" xfId="1" applyFont="1" applyFill="1" applyBorder="1"/>
    <xf numFmtId="43" fontId="3" fillId="4" borderId="2" xfId="1" applyFont="1" applyFill="1" applyBorder="1" applyAlignment="1">
      <alignment horizontal="left"/>
    </xf>
    <xf numFmtId="175" fontId="3" fillId="4" borderId="2" xfId="1" applyNumberFormat="1" applyFont="1" applyFill="1" applyBorder="1" applyAlignment="1">
      <alignment horizontal="left"/>
    </xf>
    <xf numFmtId="173" fontId="3" fillId="4" borderId="2" xfId="1" applyNumberFormat="1" applyFont="1" applyFill="1" applyBorder="1" applyAlignment="1">
      <alignment horizontal="left"/>
    </xf>
    <xf numFmtId="0" fontId="3" fillId="4" borderId="4" xfId="1" applyNumberFormat="1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1">
    <dxf>
      <numFmt numFmtId="173" formatCode="[$$-409]#,##0.00"/>
    </dxf>
  </dxfs>
  <tableStyles count="0" defaultTableStyle="TableStyleMedium9" defaultPivotStyle="PivotStyleLight16"/>
  <colors>
    <mruColors>
      <color rgb="FFF8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Book" refreshedDate="46282.33326122685" createdVersion="8" refreshedVersion="8" minRefreshableVersion="3" recordCount="50" xr:uid="{4EED1CC5-958D-4EDF-B2AE-03F7176760A5}">
  <cacheSource type="worksheet">
    <worksheetSource ref="C3:K53" sheet="Datos_Importación"/>
  </cacheSource>
  <cacheFields count="9">
    <cacheField name="No." numFmtId="0">
      <sharedItems containsSemiMixedTypes="0" containsString="0" containsNumber="1" containsInteger="1" minValue="1" maxValue="50"/>
    </cacheField>
    <cacheField name="Código" numFmtId="0">
      <sharedItems/>
    </cacheField>
    <cacheField name="Producto" numFmtId="0">
      <sharedItems count="50">
        <s v="Galletas integrales"/>
        <s v="Café soluble"/>
        <s v="Salsa de tomate"/>
        <s v="Atún enlatado"/>
        <s v="Aceite vegetal"/>
        <s v="Cereal de maíz"/>
        <s v="Leche en polvo"/>
        <s v="Frijoles enlatados"/>
        <s v="Mayonesa"/>
        <s v="Mermelada de fresa"/>
        <s v="Chocolate en polvo"/>
        <s v="Harina de trigo"/>
        <s v="Pasta alimenticia"/>
        <s v="Galletas saladas"/>
        <s v="Salsa picante"/>
        <s v="Bebida energética"/>
        <s v="Jugo de naranja"/>
        <s v="Agua embotellada"/>
        <s v="Té instantáneo"/>
        <s v="Bebida de frutas"/>
        <s v="Detergente líquido"/>
        <s v="Jabón para ropa"/>
        <s v="Limpiador multiuso"/>
        <s v="Cloro doméstico"/>
        <s v="Suavizante"/>
        <s v="Papel higiénico"/>
        <s v="Servilletas"/>
        <s v="Bolsas para basura"/>
        <s v="Toallas de cocina"/>
        <s v="Envases plásticos"/>
        <s v="Cuadernos"/>
        <s v="Carpetas"/>
        <s v="Bolígrafos"/>
        <s v="Marcadores"/>
        <s v="Papel bond"/>
        <s v="Calculadoras"/>
        <s v="Memorias USB"/>
        <s v="Teclados USB"/>
        <s v="Mouse inalámbrico"/>
        <s v="Audífonos"/>
        <s v="Cargadores USB"/>
        <s v="Cables HDMI"/>
        <s v="Mochilas"/>
        <s v="Bolsos deportivos"/>
        <s v="Gorras"/>
        <s v="Paraguas"/>
        <s v="Lentes de sol"/>
        <s v="Botellas reutilizables"/>
        <s v="Termos"/>
        <s v="Organizadores"/>
      </sharedItems>
    </cacheField>
    <cacheField name="Categoría" numFmtId="0">
      <sharedItems/>
    </cacheField>
    <cacheField name="País Origen" numFmtId="0">
      <sharedItems/>
    </cacheField>
    <cacheField name="Cantidad" numFmtId="0">
      <sharedItems containsSemiMixedTypes="0" containsString="0" containsNumber="1" containsInteger="1" minValue="60" maxValue="300"/>
    </cacheField>
    <cacheField name="Precio Unitario (USD)" numFmtId="164">
      <sharedItems containsSemiMixedTypes="0" containsString="0" containsNumber="1" minValue="1.5" maxValue="28"/>
    </cacheField>
    <cacheField name="Importe Total (USD)" numFmtId="164">
      <sharedItems containsSemiMixedTypes="0" containsString="0" containsNumber="1" minValue="435" maxValue="1912.5"/>
    </cacheField>
    <cacheField name="Clasific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MEX-001"/>
    <x v="0"/>
    <s v="Alimentos"/>
    <s v="México"/>
    <n v="120"/>
    <n v="4.5"/>
    <n v="540"/>
    <s v="Importe Normal"/>
  </r>
  <r>
    <n v="2"/>
    <s v="MEX-002"/>
    <x v="1"/>
    <s v="Alimentos"/>
    <s v="México"/>
    <n v="85"/>
    <n v="8.75"/>
    <n v="743.75"/>
    <s v="Importe Normal"/>
  </r>
  <r>
    <n v="3"/>
    <s v="MEX-003"/>
    <x v="2"/>
    <s v="Alimentos"/>
    <s v="México"/>
    <n v="150"/>
    <n v="3.2"/>
    <n v="480"/>
    <s v="Importe Normal"/>
  </r>
  <r>
    <n v="4"/>
    <s v="MEX-004"/>
    <x v="3"/>
    <s v="Alimentos"/>
    <s v="México"/>
    <n v="200"/>
    <n v="2.85"/>
    <n v="570"/>
    <s v="Importe Normal"/>
  </r>
  <r>
    <n v="5"/>
    <s v="MEX-005"/>
    <x v="4"/>
    <s v="Alimentos"/>
    <s v="México"/>
    <n v="180"/>
    <n v="5.4"/>
    <n v="972.00000000000011"/>
    <s v="Importe Normal"/>
  </r>
  <r>
    <n v="6"/>
    <s v="MEX-006"/>
    <x v="5"/>
    <s v="Alimentos"/>
    <s v="México"/>
    <n v="95"/>
    <n v="6.8"/>
    <n v="646"/>
    <s v="Importe Normal"/>
  </r>
  <r>
    <n v="7"/>
    <s v="MEX-007"/>
    <x v="6"/>
    <s v="Alimentos"/>
    <s v="México"/>
    <n v="110"/>
    <n v="9.5"/>
    <n v="1045"/>
    <s v="Importe Alto"/>
  </r>
  <r>
    <n v="8"/>
    <s v="MEX-008"/>
    <x v="7"/>
    <s v="Alimentos"/>
    <s v="México"/>
    <n v="160"/>
    <n v="3.75"/>
    <n v="600"/>
    <s v="Importe Normal"/>
  </r>
  <r>
    <n v="9"/>
    <s v="MEX-009"/>
    <x v="8"/>
    <s v="Alimentos"/>
    <s v="México"/>
    <n v="130"/>
    <n v="4.25"/>
    <n v="552.5"/>
    <s v="Importe Normal"/>
  </r>
  <r>
    <n v="10"/>
    <s v="MEX-010"/>
    <x v="9"/>
    <s v="Alimentos"/>
    <s v="México"/>
    <n v="90"/>
    <n v="5.6"/>
    <n v="503.99999999999994"/>
    <s v="Importe Normal"/>
  </r>
  <r>
    <n v="11"/>
    <s v="MEX-011"/>
    <x v="10"/>
    <s v="Alimentos"/>
    <s v="México"/>
    <n v="75"/>
    <n v="7.25"/>
    <n v="543.75"/>
    <s v="Importe Normal"/>
  </r>
  <r>
    <n v="12"/>
    <s v="MEX-012"/>
    <x v="11"/>
    <s v="Alimentos"/>
    <s v="México"/>
    <n v="220"/>
    <n v="2.9"/>
    <n v="638"/>
    <s v="Importe Normal"/>
  </r>
  <r>
    <n v="13"/>
    <s v="MEX-013"/>
    <x v="12"/>
    <s v="Alimentos"/>
    <s v="México"/>
    <n v="250"/>
    <n v="2.4"/>
    <n v="600"/>
    <s v="Importe Normal"/>
  </r>
  <r>
    <n v="14"/>
    <s v="MEX-014"/>
    <x v="13"/>
    <s v="Alimentos"/>
    <s v="México"/>
    <n v="140"/>
    <n v="3.85"/>
    <n v="539"/>
    <s v="Importe Normal"/>
  </r>
  <r>
    <n v="15"/>
    <s v="MEX-015"/>
    <x v="14"/>
    <s v="Alimentos"/>
    <s v="México"/>
    <n v="100"/>
    <n v="4.9000000000000004"/>
    <n v="490.00000000000006"/>
    <s v="Importe Normal"/>
  </r>
  <r>
    <n v="16"/>
    <s v="MEX-016"/>
    <x v="15"/>
    <s v="Bebidas"/>
    <s v="México"/>
    <n v="180"/>
    <n v="3.6"/>
    <n v="648"/>
    <s v="Importe Normal"/>
  </r>
  <r>
    <n v="17"/>
    <s v="MEX-017"/>
    <x v="16"/>
    <s v="Bebidas"/>
    <s v="México"/>
    <n v="160"/>
    <n v="3.25"/>
    <n v="520"/>
    <s v="Importe Normal"/>
  </r>
  <r>
    <n v="18"/>
    <s v="MEX-018"/>
    <x v="17"/>
    <s v="Bebidas"/>
    <s v="México"/>
    <n v="300"/>
    <n v="1.8"/>
    <n v="540"/>
    <s v="Importe Normal"/>
  </r>
  <r>
    <n v="19"/>
    <s v="MEX-019"/>
    <x v="18"/>
    <s v="Bebidas"/>
    <s v="México"/>
    <n v="80"/>
    <n v="5.75"/>
    <n v="460"/>
    <s v="Importe Normal"/>
  </r>
  <r>
    <n v="20"/>
    <s v="MEX-020"/>
    <x v="19"/>
    <s v="Bebidas"/>
    <s v="México"/>
    <n v="125"/>
    <n v="3.95"/>
    <n v="493.75"/>
    <s v="Importe Normal"/>
  </r>
  <r>
    <n v="21"/>
    <s v="MEX-021"/>
    <x v="20"/>
    <s v="Limpieza"/>
    <s v="México"/>
    <n v="90"/>
    <n v="8.5"/>
    <n v="765"/>
    <s v="Importe Normal"/>
  </r>
  <r>
    <n v="22"/>
    <s v="MEX-022"/>
    <x v="21"/>
    <s v="Limpieza"/>
    <s v="México"/>
    <n v="150"/>
    <n v="4.8"/>
    <n v="720"/>
    <s v="Importe Normal"/>
  </r>
  <r>
    <n v="23"/>
    <s v="MEX-023"/>
    <x v="22"/>
    <s v="Limpieza"/>
    <s v="México"/>
    <n v="130"/>
    <n v="5.25"/>
    <n v="682.5"/>
    <s v="Importe Normal"/>
  </r>
  <r>
    <n v="24"/>
    <s v="MEX-024"/>
    <x v="23"/>
    <s v="Limpieza"/>
    <s v="México"/>
    <n v="180"/>
    <n v="2.95"/>
    <n v="531"/>
    <s v="Importe Normal"/>
  </r>
  <r>
    <n v="25"/>
    <s v="MEX-025"/>
    <x v="24"/>
    <s v="Limpieza"/>
    <s v="México"/>
    <n v="100"/>
    <n v="7.4"/>
    <n v="740"/>
    <s v="Importe Normal"/>
  </r>
  <r>
    <n v="26"/>
    <s v="MEX-026"/>
    <x v="25"/>
    <s v="Hogar"/>
    <s v="México"/>
    <n v="200"/>
    <n v="6.25"/>
    <n v="1250"/>
    <s v="Importe Alto"/>
  </r>
  <r>
    <n v="27"/>
    <s v="MEX-027"/>
    <x v="26"/>
    <s v="Hogar"/>
    <s v="México"/>
    <n v="175"/>
    <n v="3.5"/>
    <n v="612.5"/>
    <s v="Importe Normal"/>
  </r>
  <r>
    <n v="28"/>
    <s v="MEX-028"/>
    <x v="27"/>
    <s v="Hogar"/>
    <s v="México"/>
    <n v="120"/>
    <n v="4.5999999999999996"/>
    <n v="552"/>
    <s v="Importe Normal"/>
  </r>
  <r>
    <n v="29"/>
    <s v="MEX-029"/>
    <x v="28"/>
    <s v="Hogar"/>
    <s v="México"/>
    <n v="140"/>
    <n v="5.15"/>
    <n v="721"/>
    <s v="Importe Normal"/>
  </r>
  <r>
    <n v="30"/>
    <s v="MEX-030"/>
    <x v="29"/>
    <s v="Hogar"/>
    <s v="México"/>
    <n v="160"/>
    <n v="4.75"/>
    <n v="760"/>
    <s v="Importe Normal"/>
  </r>
  <r>
    <n v="31"/>
    <s v="MEX-031"/>
    <x v="30"/>
    <s v="Oficina"/>
    <s v="México"/>
    <n v="250"/>
    <n v="2.75"/>
    <n v="687.5"/>
    <s v="Importe Normal"/>
  </r>
  <r>
    <n v="32"/>
    <s v="MEX-032"/>
    <x v="31"/>
    <s v="Oficina"/>
    <s v="México"/>
    <n v="180"/>
    <n v="3.2"/>
    <n v="576"/>
    <s v="Importe Normal"/>
  </r>
  <r>
    <n v="33"/>
    <s v="MEX-033"/>
    <x v="32"/>
    <s v="Oficina"/>
    <s v="México"/>
    <n v="300"/>
    <n v="1.5"/>
    <n v="450"/>
    <s v="Importe Normal"/>
  </r>
  <r>
    <n v="34"/>
    <s v="MEX-034"/>
    <x v="33"/>
    <s v="Oficina"/>
    <s v="México"/>
    <n v="150"/>
    <n v="2.9"/>
    <n v="435"/>
    <s v="Importe Normal"/>
  </r>
  <r>
    <n v="35"/>
    <s v="MEX-035"/>
    <x v="34"/>
    <s v="Oficina"/>
    <s v="México"/>
    <n v="100"/>
    <n v="7.8"/>
    <n v="780"/>
    <s v="Importe Normal"/>
  </r>
  <r>
    <n v="36"/>
    <s v="MEX-036"/>
    <x v="35"/>
    <s v="Oficina"/>
    <s v="México"/>
    <n v="70"/>
    <n v="12.5"/>
    <n v="875"/>
    <s v="Importe Normal"/>
  </r>
  <r>
    <n v="37"/>
    <s v="MEX-037"/>
    <x v="36"/>
    <s v="Tecnología"/>
    <s v="México"/>
    <n v="80"/>
    <n v="11.75"/>
    <n v="940"/>
    <s v="Importe Normal"/>
  </r>
  <r>
    <n v="38"/>
    <s v="MEX-038"/>
    <x v="37"/>
    <s v="Tecnología"/>
    <s v="México"/>
    <n v="60"/>
    <n v="15.5"/>
    <n v="930"/>
    <s v="Importe Normal"/>
  </r>
  <r>
    <n v="39"/>
    <s v="MEX-039"/>
    <x v="38"/>
    <s v="Tecnología"/>
    <s v="México"/>
    <n v="75"/>
    <n v="13.25"/>
    <n v="993.75"/>
    <s v="Importe Normal"/>
  </r>
  <r>
    <n v="40"/>
    <s v="MEX-040"/>
    <x v="39"/>
    <s v="Tecnología"/>
    <s v="México"/>
    <n v="90"/>
    <n v="18.5"/>
    <n v="1665"/>
    <s v="Importe Alto"/>
  </r>
  <r>
    <n v="41"/>
    <s v="MEX-041"/>
    <x v="40"/>
    <s v="Tecnología"/>
    <s v="México"/>
    <n v="100"/>
    <n v="9.75"/>
    <n v="975"/>
    <s v="Importe Normal"/>
  </r>
  <r>
    <n v="42"/>
    <s v="MEX-042"/>
    <x v="41"/>
    <s v="Tecnología"/>
    <s v="México"/>
    <n v="120"/>
    <n v="7.5"/>
    <n v="900"/>
    <s v="Importe Normal"/>
  </r>
  <r>
    <n v="43"/>
    <s v="MEX-043"/>
    <x v="42"/>
    <s v="Accesorios"/>
    <s v="México"/>
    <n v="85"/>
    <n v="22.5"/>
    <n v="1912.5"/>
    <s v="Importe Alto"/>
  </r>
  <r>
    <n v="44"/>
    <s v="MEX-044"/>
    <x v="43"/>
    <s v="Accesorios"/>
    <s v="México"/>
    <n v="60"/>
    <n v="28"/>
    <n v="1680"/>
    <s v="Importe Alto"/>
  </r>
  <r>
    <n v="45"/>
    <s v="MEX-045"/>
    <x v="44"/>
    <s v="Accesorios"/>
    <s v="Guatemala"/>
    <n v="120"/>
    <n v="8.75"/>
    <n v="1050"/>
    <s v="Importe Alto"/>
  </r>
  <r>
    <n v="46"/>
    <s v="MEX-046"/>
    <x v="45"/>
    <s v="Accesorios"/>
    <s v="Costa Rica"/>
    <n v="90"/>
    <n v="12.8"/>
    <n v="1152"/>
    <s v="Importe Alto"/>
  </r>
  <r>
    <n v="47"/>
    <s v="MEX-047"/>
    <x v="46"/>
    <s v="Accesorios"/>
    <s v="El Salvador"/>
    <n v="75"/>
    <n v="16.5"/>
    <n v="1237.5"/>
    <s v="Importe Alto"/>
  </r>
  <r>
    <n v="48"/>
    <s v="MEX-048"/>
    <x v="47"/>
    <s v="Accesorios"/>
    <s v="México"/>
    <n v="110"/>
    <n v="9.25"/>
    <n v="1017.5"/>
    <s v="Importe Alto"/>
  </r>
  <r>
    <n v="49"/>
    <s v="MEX-049"/>
    <x v="48"/>
    <s v="Accesorios"/>
    <s v="México"/>
    <n v="65"/>
    <n v="24.5"/>
    <n v="1592.5"/>
    <s v="Importe Alto"/>
  </r>
  <r>
    <n v="50"/>
    <s v="MEX-050"/>
    <x v="49"/>
    <s v="Hogar"/>
    <s v="México"/>
    <n v="100"/>
    <n v="10.5"/>
    <n v="1050"/>
    <s v="Importe Al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D1A5B-A595-47FA-A4BA-75C1E2FB2086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0:C61" firstHeaderRow="1" firstDataRow="1" firstDataCol="1"/>
  <pivotFields count="9">
    <pivotField showAll="0"/>
    <pivotField showAll="0"/>
    <pivotField axis="axisRow" showAll="0" sortType="descending">
      <items count="51">
        <item x="4"/>
        <item x="17"/>
        <item x="3"/>
        <item x="39"/>
        <item x="19"/>
        <item x="15"/>
        <item x="32"/>
        <item x="27"/>
        <item x="43"/>
        <item x="47"/>
        <item x="41"/>
        <item x="1"/>
        <item x="35"/>
        <item x="40"/>
        <item x="31"/>
        <item x="5"/>
        <item x="10"/>
        <item x="23"/>
        <item x="30"/>
        <item x="20"/>
        <item x="29"/>
        <item x="7"/>
        <item x="0"/>
        <item x="13"/>
        <item x="44"/>
        <item x="11"/>
        <item x="21"/>
        <item x="16"/>
        <item x="6"/>
        <item x="46"/>
        <item x="22"/>
        <item x="33"/>
        <item x="8"/>
        <item x="36"/>
        <item x="9"/>
        <item x="42"/>
        <item x="38"/>
        <item x="49"/>
        <item x="34"/>
        <item x="25"/>
        <item x="45"/>
        <item x="12"/>
        <item x="2"/>
        <item x="14"/>
        <item x="26"/>
        <item x="24"/>
        <item x="18"/>
        <item x="37"/>
        <item x="48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2"/>
  </rowFields>
  <rowItems count="51">
    <i>
      <x v="35"/>
    </i>
    <i>
      <x v="8"/>
    </i>
    <i>
      <x v="3"/>
    </i>
    <i>
      <x v="48"/>
    </i>
    <i>
      <x v="39"/>
    </i>
    <i>
      <x v="29"/>
    </i>
    <i>
      <x v="40"/>
    </i>
    <i>
      <x v="37"/>
    </i>
    <i>
      <x v="24"/>
    </i>
    <i>
      <x v="28"/>
    </i>
    <i>
      <x v="9"/>
    </i>
    <i>
      <x v="36"/>
    </i>
    <i>
      <x v="13"/>
    </i>
    <i>
      <x/>
    </i>
    <i>
      <x v="33"/>
    </i>
    <i>
      <x v="47"/>
    </i>
    <i>
      <x v="10"/>
    </i>
    <i>
      <x v="12"/>
    </i>
    <i>
      <x v="38"/>
    </i>
    <i>
      <x v="19"/>
    </i>
    <i>
      <x v="20"/>
    </i>
    <i>
      <x v="11"/>
    </i>
    <i>
      <x v="45"/>
    </i>
    <i>
      <x v="49"/>
    </i>
    <i>
      <x v="26"/>
    </i>
    <i>
      <x v="18"/>
    </i>
    <i>
      <x v="30"/>
    </i>
    <i>
      <x v="5"/>
    </i>
    <i>
      <x v="15"/>
    </i>
    <i>
      <x v="25"/>
    </i>
    <i>
      <x v="44"/>
    </i>
    <i>
      <x v="21"/>
    </i>
    <i>
      <x v="41"/>
    </i>
    <i>
      <x v="14"/>
    </i>
    <i>
      <x v="2"/>
    </i>
    <i>
      <x v="32"/>
    </i>
    <i>
      <x v="7"/>
    </i>
    <i>
      <x v="16"/>
    </i>
    <i>
      <x v="22"/>
    </i>
    <i>
      <x v="1"/>
    </i>
    <i>
      <x v="23"/>
    </i>
    <i>
      <x v="17"/>
    </i>
    <i>
      <x v="27"/>
    </i>
    <i>
      <x v="34"/>
    </i>
    <i>
      <x v="4"/>
    </i>
    <i>
      <x v="43"/>
    </i>
    <i>
      <x v="42"/>
    </i>
    <i>
      <x v="46"/>
    </i>
    <i>
      <x v="6"/>
    </i>
    <i>
      <x v="31"/>
    </i>
    <i t="grand">
      <x/>
    </i>
  </rowItems>
  <colItems count="1">
    <i/>
  </colItems>
  <dataFields count="1">
    <dataField name="Suma de Importe Total (USD)" fld="7" baseField="0" baseItem="0" numFmtId="173"/>
  </dataFields>
  <formats count="1">
    <format dxfId="0">
      <pivotArea outline="0" collapsedLevelsAreSubtotals="1" fieldPosition="0"/>
    </format>
  </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58"/>
  <sheetViews>
    <sheetView zoomScale="62" workbookViewId="0">
      <pane ySplit="1" topLeftCell="A48" activePane="bottomLeft" state="frozen"/>
      <selection pane="bottomLeft" activeCell="N13" sqref="N13"/>
    </sheetView>
  </sheetViews>
  <sheetFormatPr baseColWidth="10" defaultColWidth="8.90625" defaultRowHeight="14.5" x14ac:dyDescent="0.35"/>
  <cols>
    <col min="1" max="1" width="4" style="1" bestFit="1" customWidth="1"/>
    <col min="2" max="2" width="8.36328125" style="1" bestFit="1" customWidth="1"/>
    <col min="3" max="3" width="17.81640625" bestFit="1" customWidth="1"/>
    <col min="4" max="4" width="10.08984375" bestFit="1" customWidth="1"/>
    <col min="5" max="5" width="21.26953125" style="1" bestFit="1" customWidth="1"/>
    <col min="6" max="6" width="12.36328125" bestFit="1" customWidth="1"/>
    <col min="7" max="7" width="18.90625" bestFit="1" customWidth="1"/>
    <col min="8" max="8" width="17.90625" bestFit="1" customWidth="1"/>
    <col min="9" max="9" width="26.453125" bestFit="1" customWidth="1"/>
    <col min="10" max="10" width="24.54296875" bestFit="1" customWidth="1"/>
    <col min="11" max="11" width="16.26953125" bestFit="1" customWidth="1"/>
  </cols>
  <sheetData>
    <row r="3" spans="3:11" x14ac:dyDescent="0.3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spans="3:11" x14ac:dyDescent="0.35">
      <c r="C4" s="3">
        <v>1</v>
      </c>
      <c r="D4" s="3" t="s">
        <v>9</v>
      </c>
      <c r="E4" s="4" t="s">
        <v>10</v>
      </c>
      <c r="F4" s="4" t="s">
        <v>11</v>
      </c>
      <c r="G4" s="3" t="s">
        <v>12</v>
      </c>
      <c r="H4" s="4">
        <v>120</v>
      </c>
      <c r="I4" s="5">
        <v>4.5</v>
      </c>
      <c r="J4" s="5">
        <f>I4*H4</f>
        <v>540</v>
      </c>
      <c r="K4" s="4" t="str">
        <f>IF(J4&gt;1000,"Importe Alto","Importe Normal")</f>
        <v>Importe Normal</v>
      </c>
    </row>
    <row r="5" spans="3:11" x14ac:dyDescent="0.35">
      <c r="C5" s="3">
        <v>2</v>
      </c>
      <c r="D5" s="3" t="s">
        <v>13</v>
      </c>
      <c r="E5" s="4" t="s">
        <v>14</v>
      </c>
      <c r="F5" s="4" t="s">
        <v>11</v>
      </c>
      <c r="G5" s="3" t="s">
        <v>12</v>
      </c>
      <c r="H5" s="4">
        <v>85</v>
      </c>
      <c r="I5" s="5">
        <v>8.75</v>
      </c>
      <c r="J5" s="5">
        <f>I5*H5</f>
        <v>743.75</v>
      </c>
      <c r="K5" s="4" t="str">
        <f t="shared" ref="K5:K53" si="0">IF(J5&gt;1000,"Importe Alto","Importe Normal")</f>
        <v>Importe Normal</v>
      </c>
    </row>
    <row r="6" spans="3:11" x14ac:dyDescent="0.35">
      <c r="C6" s="3">
        <v>3</v>
      </c>
      <c r="D6" s="3" t="s">
        <v>15</v>
      </c>
      <c r="E6" s="4" t="s">
        <v>16</v>
      </c>
      <c r="F6" s="4" t="s">
        <v>11</v>
      </c>
      <c r="G6" s="3" t="s">
        <v>12</v>
      </c>
      <c r="H6" s="4">
        <v>150</v>
      </c>
      <c r="I6" s="5">
        <v>3.2</v>
      </c>
      <c r="J6" s="5">
        <f t="shared" ref="J6:J53" si="1">I6*H6</f>
        <v>480</v>
      </c>
      <c r="K6" s="4" t="str">
        <f t="shared" si="0"/>
        <v>Importe Normal</v>
      </c>
    </row>
    <row r="7" spans="3:11" x14ac:dyDescent="0.35">
      <c r="C7" s="3">
        <v>4</v>
      </c>
      <c r="D7" s="3" t="s">
        <v>17</v>
      </c>
      <c r="E7" s="4" t="s">
        <v>18</v>
      </c>
      <c r="F7" s="4" t="s">
        <v>11</v>
      </c>
      <c r="G7" s="3" t="s">
        <v>12</v>
      </c>
      <c r="H7" s="4">
        <v>200</v>
      </c>
      <c r="I7" s="5">
        <v>2.85</v>
      </c>
      <c r="J7" s="5">
        <f t="shared" si="1"/>
        <v>570</v>
      </c>
      <c r="K7" s="4" t="str">
        <f t="shared" si="0"/>
        <v>Importe Normal</v>
      </c>
    </row>
    <row r="8" spans="3:11" x14ac:dyDescent="0.35">
      <c r="C8" s="3">
        <v>5</v>
      </c>
      <c r="D8" s="3" t="s">
        <v>19</v>
      </c>
      <c r="E8" s="4" t="s">
        <v>20</v>
      </c>
      <c r="F8" s="4" t="s">
        <v>11</v>
      </c>
      <c r="G8" s="3" t="s">
        <v>12</v>
      </c>
      <c r="H8" s="4">
        <v>180</v>
      </c>
      <c r="I8" s="5">
        <v>5.4</v>
      </c>
      <c r="J8" s="5">
        <f t="shared" si="1"/>
        <v>972.00000000000011</v>
      </c>
      <c r="K8" s="4" t="str">
        <f t="shared" si="0"/>
        <v>Importe Normal</v>
      </c>
    </row>
    <row r="9" spans="3:11" x14ac:dyDescent="0.35">
      <c r="C9" s="3">
        <v>6</v>
      </c>
      <c r="D9" s="3" t="s">
        <v>21</v>
      </c>
      <c r="E9" s="4" t="s">
        <v>22</v>
      </c>
      <c r="F9" s="4" t="s">
        <v>11</v>
      </c>
      <c r="G9" s="3" t="s">
        <v>12</v>
      </c>
      <c r="H9" s="4">
        <v>95</v>
      </c>
      <c r="I9" s="5">
        <v>6.8</v>
      </c>
      <c r="J9" s="5">
        <f t="shared" si="1"/>
        <v>646</v>
      </c>
      <c r="K9" s="4" t="str">
        <f t="shared" si="0"/>
        <v>Importe Normal</v>
      </c>
    </row>
    <row r="10" spans="3:11" x14ac:dyDescent="0.35">
      <c r="C10" s="3">
        <v>7</v>
      </c>
      <c r="D10" s="3" t="s">
        <v>23</v>
      </c>
      <c r="E10" s="4" t="s">
        <v>24</v>
      </c>
      <c r="F10" s="4" t="s">
        <v>11</v>
      </c>
      <c r="G10" s="3" t="s">
        <v>12</v>
      </c>
      <c r="H10" s="4">
        <v>110</v>
      </c>
      <c r="I10" s="5">
        <v>9.5</v>
      </c>
      <c r="J10" s="5">
        <f t="shared" si="1"/>
        <v>1045</v>
      </c>
      <c r="K10" s="4" t="str">
        <f t="shared" si="0"/>
        <v>Importe Alto</v>
      </c>
    </row>
    <row r="11" spans="3:11" x14ac:dyDescent="0.35">
      <c r="C11" s="3">
        <v>8</v>
      </c>
      <c r="D11" s="3" t="s">
        <v>25</v>
      </c>
      <c r="E11" s="4" t="s">
        <v>26</v>
      </c>
      <c r="F11" s="4" t="s">
        <v>11</v>
      </c>
      <c r="G11" s="3" t="s">
        <v>12</v>
      </c>
      <c r="H11" s="4">
        <v>160</v>
      </c>
      <c r="I11" s="5">
        <v>3.75</v>
      </c>
      <c r="J11" s="5">
        <f t="shared" si="1"/>
        <v>600</v>
      </c>
      <c r="K11" s="4" t="str">
        <f t="shared" si="0"/>
        <v>Importe Normal</v>
      </c>
    </row>
    <row r="12" spans="3:11" x14ac:dyDescent="0.35">
      <c r="C12" s="3">
        <v>9</v>
      </c>
      <c r="D12" s="3" t="s">
        <v>27</v>
      </c>
      <c r="E12" s="4" t="s">
        <v>28</v>
      </c>
      <c r="F12" s="4" t="s">
        <v>11</v>
      </c>
      <c r="G12" s="3" t="s">
        <v>12</v>
      </c>
      <c r="H12" s="4">
        <v>130</v>
      </c>
      <c r="I12" s="5">
        <v>4.25</v>
      </c>
      <c r="J12" s="5">
        <f t="shared" si="1"/>
        <v>552.5</v>
      </c>
      <c r="K12" s="4" t="str">
        <f t="shared" si="0"/>
        <v>Importe Normal</v>
      </c>
    </row>
    <row r="13" spans="3:11" x14ac:dyDescent="0.35">
      <c r="C13" s="3">
        <v>10</v>
      </c>
      <c r="D13" s="3" t="s">
        <v>29</v>
      </c>
      <c r="E13" s="4" t="s">
        <v>30</v>
      </c>
      <c r="F13" s="4" t="s">
        <v>11</v>
      </c>
      <c r="G13" s="3" t="s">
        <v>12</v>
      </c>
      <c r="H13" s="4">
        <v>90</v>
      </c>
      <c r="I13" s="5">
        <v>5.6</v>
      </c>
      <c r="J13" s="5">
        <f t="shared" si="1"/>
        <v>503.99999999999994</v>
      </c>
      <c r="K13" s="4" t="str">
        <f t="shared" si="0"/>
        <v>Importe Normal</v>
      </c>
    </row>
    <row r="14" spans="3:11" x14ac:dyDescent="0.35">
      <c r="C14" s="3">
        <v>11</v>
      </c>
      <c r="D14" s="3" t="s">
        <v>31</v>
      </c>
      <c r="E14" s="4" t="s">
        <v>32</v>
      </c>
      <c r="F14" s="4" t="s">
        <v>11</v>
      </c>
      <c r="G14" s="3" t="s">
        <v>12</v>
      </c>
      <c r="H14" s="4">
        <v>75</v>
      </c>
      <c r="I14" s="5">
        <v>7.25</v>
      </c>
      <c r="J14" s="5">
        <f t="shared" si="1"/>
        <v>543.75</v>
      </c>
      <c r="K14" s="4" t="str">
        <f t="shared" si="0"/>
        <v>Importe Normal</v>
      </c>
    </row>
    <row r="15" spans="3:11" x14ac:dyDescent="0.35">
      <c r="C15" s="3">
        <v>12</v>
      </c>
      <c r="D15" s="3" t="s">
        <v>33</v>
      </c>
      <c r="E15" s="4" t="s">
        <v>34</v>
      </c>
      <c r="F15" s="4" t="s">
        <v>11</v>
      </c>
      <c r="G15" s="3" t="s">
        <v>12</v>
      </c>
      <c r="H15" s="4">
        <v>220</v>
      </c>
      <c r="I15" s="5">
        <v>2.9</v>
      </c>
      <c r="J15" s="5">
        <f t="shared" si="1"/>
        <v>638</v>
      </c>
      <c r="K15" s="4" t="str">
        <f t="shared" si="0"/>
        <v>Importe Normal</v>
      </c>
    </row>
    <row r="16" spans="3:11" x14ac:dyDescent="0.35">
      <c r="C16" s="3">
        <v>13</v>
      </c>
      <c r="D16" s="3" t="s">
        <v>35</v>
      </c>
      <c r="E16" s="4" t="s">
        <v>36</v>
      </c>
      <c r="F16" s="4" t="s">
        <v>11</v>
      </c>
      <c r="G16" s="3" t="s">
        <v>12</v>
      </c>
      <c r="H16" s="4">
        <v>250</v>
      </c>
      <c r="I16" s="5">
        <v>2.4</v>
      </c>
      <c r="J16" s="5">
        <f t="shared" si="1"/>
        <v>600</v>
      </c>
      <c r="K16" s="4" t="str">
        <f t="shared" si="0"/>
        <v>Importe Normal</v>
      </c>
    </row>
    <row r="17" spans="3:11" x14ac:dyDescent="0.35">
      <c r="C17" s="3">
        <v>14</v>
      </c>
      <c r="D17" s="3" t="s">
        <v>37</v>
      </c>
      <c r="E17" s="4" t="s">
        <v>38</v>
      </c>
      <c r="F17" s="4" t="s">
        <v>11</v>
      </c>
      <c r="G17" s="3" t="s">
        <v>12</v>
      </c>
      <c r="H17" s="4">
        <v>140</v>
      </c>
      <c r="I17" s="5">
        <v>3.85</v>
      </c>
      <c r="J17" s="5">
        <f t="shared" si="1"/>
        <v>539</v>
      </c>
      <c r="K17" s="4" t="str">
        <f t="shared" si="0"/>
        <v>Importe Normal</v>
      </c>
    </row>
    <row r="18" spans="3:11" x14ac:dyDescent="0.35">
      <c r="C18" s="3">
        <v>15</v>
      </c>
      <c r="D18" s="3" t="s">
        <v>39</v>
      </c>
      <c r="E18" s="4" t="s">
        <v>40</v>
      </c>
      <c r="F18" s="4" t="s">
        <v>11</v>
      </c>
      <c r="G18" s="3" t="s">
        <v>12</v>
      </c>
      <c r="H18" s="4">
        <v>100</v>
      </c>
      <c r="I18" s="5">
        <v>4.9000000000000004</v>
      </c>
      <c r="J18" s="5">
        <f t="shared" si="1"/>
        <v>490.00000000000006</v>
      </c>
      <c r="K18" s="4" t="str">
        <f t="shared" si="0"/>
        <v>Importe Normal</v>
      </c>
    </row>
    <row r="19" spans="3:11" x14ac:dyDescent="0.35">
      <c r="C19" s="3">
        <v>16</v>
      </c>
      <c r="D19" s="3" t="s">
        <v>41</v>
      </c>
      <c r="E19" s="4" t="s">
        <v>42</v>
      </c>
      <c r="F19" s="4" t="s">
        <v>43</v>
      </c>
      <c r="G19" s="3" t="s">
        <v>12</v>
      </c>
      <c r="H19" s="4">
        <v>180</v>
      </c>
      <c r="I19" s="5">
        <v>3.6</v>
      </c>
      <c r="J19" s="5">
        <f t="shared" si="1"/>
        <v>648</v>
      </c>
      <c r="K19" s="4" t="str">
        <f t="shared" si="0"/>
        <v>Importe Normal</v>
      </c>
    </row>
    <row r="20" spans="3:11" x14ac:dyDescent="0.35">
      <c r="C20" s="3">
        <v>17</v>
      </c>
      <c r="D20" s="3" t="s">
        <v>44</v>
      </c>
      <c r="E20" s="4" t="s">
        <v>45</v>
      </c>
      <c r="F20" s="4" t="s">
        <v>43</v>
      </c>
      <c r="G20" s="3" t="s">
        <v>12</v>
      </c>
      <c r="H20" s="4">
        <v>160</v>
      </c>
      <c r="I20" s="5">
        <v>3.25</v>
      </c>
      <c r="J20" s="5">
        <f t="shared" si="1"/>
        <v>520</v>
      </c>
      <c r="K20" s="4" t="str">
        <f t="shared" si="0"/>
        <v>Importe Normal</v>
      </c>
    </row>
    <row r="21" spans="3:11" x14ac:dyDescent="0.35">
      <c r="C21" s="3">
        <v>18</v>
      </c>
      <c r="D21" s="3" t="s">
        <v>46</v>
      </c>
      <c r="E21" s="4" t="s">
        <v>47</v>
      </c>
      <c r="F21" s="4" t="s">
        <v>43</v>
      </c>
      <c r="G21" s="3" t="s">
        <v>12</v>
      </c>
      <c r="H21" s="4">
        <v>300</v>
      </c>
      <c r="I21" s="5">
        <v>1.8</v>
      </c>
      <c r="J21" s="5">
        <f t="shared" si="1"/>
        <v>540</v>
      </c>
      <c r="K21" s="4" t="str">
        <f t="shared" si="0"/>
        <v>Importe Normal</v>
      </c>
    </row>
    <row r="22" spans="3:11" x14ac:dyDescent="0.35">
      <c r="C22" s="3">
        <v>19</v>
      </c>
      <c r="D22" s="3" t="s">
        <v>48</v>
      </c>
      <c r="E22" s="4" t="s">
        <v>49</v>
      </c>
      <c r="F22" s="4" t="s">
        <v>43</v>
      </c>
      <c r="G22" s="3" t="s">
        <v>12</v>
      </c>
      <c r="H22" s="4">
        <v>80</v>
      </c>
      <c r="I22" s="5">
        <v>5.75</v>
      </c>
      <c r="J22" s="5">
        <f t="shared" si="1"/>
        <v>460</v>
      </c>
      <c r="K22" s="4" t="str">
        <f t="shared" si="0"/>
        <v>Importe Normal</v>
      </c>
    </row>
    <row r="23" spans="3:11" x14ac:dyDescent="0.35">
      <c r="C23" s="3">
        <v>20</v>
      </c>
      <c r="D23" s="3" t="s">
        <v>50</v>
      </c>
      <c r="E23" s="4" t="s">
        <v>51</v>
      </c>
      <c r="F23" s="4" t="s">
        <v>43</v>
      </c>
      <c r="G23" s="3" t="s">
        <v>12</v>
      </c>
      <c r="H23" s="4">
        <v>125</v>
      </c>
      <c r="I23" s="5">
        <v>3.95</v>
      </c>
      <c r="J23" s="5">
        <f t="shared" si="1"/>
        <v>493.75</v>
      </c>
      <c r="K23" s="4" t="str">
        <f t="shared" si="0"/>
        <v>Importe Normal</v>
      </c>
    </row>
    <row r="24" spans="3:11" x14ac:dyDescent="0.35">
      <c r="C24" s="3">
        <v>21</v>
      </c>
      <c r="D24" s="3" t="s">
        <v>52</v>
      </c>
      <c r="E24" s="4" t="s">
        <v>53</v>
      </c>
      <c r="F24" s="4" t="s">
        <v>54</v>
      </c>
      <c r="G24" s="3" t="s">
        <v>12</v>
      </c>
      <c r="H24" s="4">
        <v>90</v>
      </c>
      <c r="I24" s="5">
        <v>8.5</v>
      </c>
      <c r="J24" s="5">
        <f t="shared" si="1"/>
        <v>765</v>
      </c>
      <c r="K24" s="4" t="str">
        <f t="shared" si="0"/>
        <v>Importe Normal</v>
      </c>
    </row>
    <row r="25" spans="3:11" x14ac:dyDescent="0.35">
      <c r="C25" s="3">
        <v>22</v>
      </c>
      <c r="D25" s="3" t="s">
        <v>55</v>
      </c>
      <c r="E25" s="4" t="s">
        <v>56</v>
      </c>
      <c r="F25" s="4" t="s">
        <v>54</v>
      </c>
      <c r="G25" s="3" t="s">
        <v>12</v>
      </c>
      <c r="H25" s="4">
        <v>150</v>
      </c>
      <c r="I25" s="5">
        <v>4.8</v>
      </c>
      <c r="J25" s="5">
        <f t="shared" si="1"/>
        <v>720</v>
      </c>
      <c r="K25" s="4" t="str">
        <f t="shared" si="0"/>
        <v>Importe Normal</v>
      </c>
    </row>
    <row r="26" spans="3:11" x14ac:dyDescent="0.35">
      <c r="C26" s="3">
        <v>23</v>
      </c>
      <c r="D26" s="3" t="s">
        <v>57</v>
      </c>
      <c r="E26" s="4" t="s">
        <v>58</v>
      </c>
      <c r="F26" s="4" t="s">
        <v>54</v>
      </c>
      <c r="G26" s="3" t="s">
        <v>12</v>
      </c>
      <c r="H26" s="4">
        <v>130</v>
      </c>
      <c r="I26" s="5">
        <v>5.25</v>
      </c>
      <c r="J26" s="5">
        <f t="shared" si="1"/>
        <v>682.5</v>
      </c>
      <c r="K26" s="4" t="str">
        <f t="shared" si="0"/>
        <v>Importe Normal</v>
      </c>
    </row>
    <row r="27" spans="3:11" x14ac:dyDescent="0.35">
      <c r="C27" s="3">
        <v>24</v>
      </c>
      <c r="D27" s="3" t="s">
        <v>59</v>
      </c>
      <c r="E27" s="4" t="s">
        <v>60</v>
      </c>
      <c r="F27" s="4" t="s">
        <v>54</v>
      </c>
      <c r="G27" s="3" t="s">
        <v>12</v>
      </c>
      <c r="H27" s="4">
        <v>180</v>
      </c>
      <c r="I27" s="5">
        <v>2.95</v>
      </c>
      <c r="J27" s="5">
        <f t="shared" si="1"/>
        <v>531</v>
      </c>
      <c r="K27" s="4" t="str">
        <f t="shared" si="0"/>
        <v>Importe Normal</v>
      </c>
    </row>
    <row r="28" spans="3:11" x14ac:dyDescent="0.35">
      <c r="C28" s="3">
        <v>25</v>
      </c>
      <c r="D28" s="3" t="s">
        <v>61</v>
      </c>
      <c r="E28" s="4" t="s">
        <v>62</v>
      </c>
      <c r="F28" s="4" t="s">
        <v>54</v>
      </c>
      <c r="G28" s="3" t="s">
        <v>12</v>
      </c>
      <c r="H28" s="4">
        <v>100</v>
      </c>
      <c r="I28" s="5">
        <v>7.4</v>
      </c>
      <c r="J28" s="5">
        <f t="shared" si="1"/>
        <v>740</v>
      </c>
      <c r="K28" s="4" t="str">
        <f t="shared" si="0"/>
        <v>Importe Normal</v>
      </c>
    </row>
    <row r="29" spans="3:11" x14ac:dyDescent="0.35">
      <c r="C29" s="3">
        <v>26</v>
      </c>
      <c r="D29" s="3" t="s">
        <v>63</v>
      </c>
      <c r="E29" s="4" t="s">
        <v>64</v>
      </c>
      <c r="F29" s="4" t="s">
        <v>65</v>
      </c>
      <c r="G29" s="3" t="s">
        <v>12</v>
      </c>
      <c r="H29" s="4">
        <v>200</v>
      </c>
      <c r="I29" s="5">
        <v>6.25</v>
      </c>
      <c r="J29" s="5">
        <f t="shared" si="1"/>
        <v>1250</v>
      </c>
      <c r="K29" s="4" t="str">
        <f t="shared" si="0"/>
        <v>Importe Alto</v>
      </c>
    </row>
    <row r="30" spans="3:11" x14ac:dyDescent="0.35">
      <c r="C30" s="3">
        <v>27</v>
      </c>
      <c r="D30" s="3" t="s">
        <v>66</v>
      </c>
      <c r="E30" s="4" t="s">
        <v>67</v>
      </c>
      <c r="F30" s="4" t="s">
        <v>65</v>
      </c>
      <c r="G30" s="3" t="s">
        <v>12</v>
      </c>
      <c r="H30" s="4">
        <v>175</v>
      </c>
      <c r="I30" s="5">
        <v>3.5</v>
      </c>
      <c r="J30" s="5">
        <f t="shared" si="1"/>
        <v>612.5</v>
      </c>
      <c r="K30" s="4" t="str">
        <f t="shared" si="0"/>
        <v>Importe Normal</v>
      </c>
    </row>
    <row r="31" spans="3:11" x14ac:dyDescent="0.35">
      <c r="C31" s="3">
        <v>28</v>
      </c>
      <c r="D31" s="3" t="s">
        <v>68</v>
      </c>
      <c r="E31" s="4" t="s">
        <v>69</v>
      </c>
      <c r="F31" s="4" t="s">
        <v>65</v>
      </c>
      <c r="G31" s="3" t="s">
        <v>12</v>
      </c>
      <c r="H31" s="4">
        <v>120</v>
      </c>
      <c r="I31" s="5">
        <v>4.5999999999999996</v>
      </c>
      <c r="J31" s="5">
        <f t="shared" si="1"/>
        <v>552</v>
      </c>
      <c r="K31" s="4" t="str">
        <f t="shared" si="0"/>
        <v>Importe Normal</v>
      </c>
    </row>
    <row r="32" spans="3:11" x14ac:dyDescent="0.35">
      <c r="C32" s="3">
        <v>29</v>
      </c>
      <c r="D32" s="3" t="s">
        <v>70</v>
      </c>
      <c r="E32" s="4" t="s">
        <v>71</v>
      </c>
      <c r="F32" s="4" t="s">
        <v>65</v>
      </c>
      <c r="G32" s="3" t="s">
        <v>12</v>
      </c>
      <c r="H32" s="4">
        <v>140</v>
      </c>
      <c r="I32" s="5">
        <v>5.15</v>
      </c>
      <c r="J32" s="5">
        <f t="shared" si="1"/>
        <v>721</v>
      </c>
      <c r="K32" s="4" t="str">
        <f t="shared" si="0"/>
        <v>Importe Normal</v>
      </c>
    </row>
    <row r="33" spans="3:11" x14ac:dyDescent="0.35">
      <c r="C33" s="3">
        <v>30</v>
      </c>
      <c r="D33" s="3" t="s">
        <v>72</v>
      </c>
      <c r="E33" s="4" t="s">
        <v>73</v>
      </c>
      <c r="F33" s="4" t="s">
        <v>65</v>
      </c>
      <c r="G33" s="3" t="s">
        <v>12</v>
      </c>
      <c r="H33" s="4">
        <v>160</v>
      </c>
      <c r="I33" s="5">
        <v>4.75</v>
      </c>
      <c r="J33" s="5">
        <f t="shared" si="1"/>
        <v>760</v>
      </c>
      <c r="K33" s="4" t="str">
        <f t="shared" si="0"/>
        <v>Importe Normal</v>
      </c>
    </row>
    <row r="34" spans="3:11" x14ac:dyDescent="0.35">
      <c r="C34" s="3">
        <v>31</v>
      </c>
      <c r="D34" s="3" t="s">
        <v>74</v>
      </c>
      <c r="E34" s="4" t="s">
        <v>75</v>
      </c>
      <c r="F34" s="4" t="s">
        <v>76</v>
      </c>
      <c r="G34" s="3" t="s">
        <v>12</v>
      </c>
      <c r="H34" s="4">
        <v>250</v>
      </c>
      <c r="I34" s="5">
        <v>2.75</v>
      </c>
      <c r="J34" s="5">
        <f t="shared" si="1"/>
        <v>687.5</v>
      </c>
      <c r="K34" s="4" t="str">
        <f t="shared" si="0"/>
        <v>Importe Normal</v>
      </c>
    </row>
    <row r="35" spans="3:11" x14ac:dyDescent="0.35">
      <c r="C35" s="3">
        <v>32</v>
      </c>
      <c r="D35" s="3" t="s">
        <v>77</v>
      </c>
      <c r="E35" s="4" t="s">
        <v>78</v>
      </c>
      <c r="F35" s="4" t="s">
        <v>76</v>
      </c>
      <c r="G35" s="3" t="s">
        <v>12</v>
      </c>
      <c r="H35" s="4">
        <v>180</v>
      </c>
      <c r="I35" s="5">
        <v>3.2</v>
      </c>
      <c r="J35" s="5">
        <f t="shared" si="1"/>
        <v>576</v>
      </c>
      <c r="K35" s="4" t="str">
        <f t="shared" si="0"/>
        <v>Importe Normal</v>
      </c>
    </row>
    <row r="36" spans="3:11" x14ac:dyDescent="0.35">
      <c r="C36" s="3">
        <v>33</v>
      </c>
      <c r="D36" s="3" t="s">
        <v>79</v>
      </c>
      <c r="E36" s="4" t="s">
        <v>80</v>
      </c>
      <c r="F36" s="4" t="s">
        <v>76</v>
      </c>
      <c r="G36" s="3" t="s">
        <v>12</v>
      </c>
      <c r="H36" s="4">
        <v>300</v>
      </c>
      <c r="I36" s="5">
        <v>1.5</v>
      </c>
      <c r="J36" s="5">
        <f t="shared" si="1"/>
        <v>450</v>
      </c>
      <c r="K36" s="4" t="str">
        <f t="shared" si="0"/>
        <v>Importe Normal</v>
      </c>
    </row>
    <row r="37" spans="3:11" x14ac:dyDescent="0.35">
      <c r="C37" s="3">
        <v>34</v>
      </c>
      <c r="D37" s="3" t="s">
        <v>81</v>
      </c>
      <c r="E37" s="4" t="s">
        <v>82</v>
      </c>
      <c r="F37" s="4" t="s">
        <v>76</v>
      </c>
      <c r="G37" s="3" t="s">
        <v>12</v>
      </c>
      <c r="H37" s="4">
        <v>150</v>
      </c>
      <c r="I37" s="5">
        <v>2.9</v>
      </c>
      <c r="J37" s="5">
        <f t="shared" si="1"/>
        <v>435</v>
      </c>
      <c r="K37" s="4" t="str">
        <f t="shared" si="0"/>
        <v>Importe Normal</v>
      </c>
    </row>
    <row r="38" spans="3:11" x14ac:dyDescent="0.35">
      <c r="C38" s="3">
        <v>35</v>
      </c>
      <c r="D38" s="3" t="s">
        <v>83</v>
      </c>
      <c r="E38" s="4" t="s">
        <v>84</v>
      </c>
      <c r="F38" s="4" t="s">
        <v>76</v>
      </c>
      <c r="G38" s="3" t="s">
        <v>12</v>
      </c>
      <c r="H38" s="4">
        <v>100</v>
      </c>
      <c r="I38" s="5">
        <v>7.8</v>
      </c>
      <c r="J38" s="5">
        <f t="shared" si="1"/>
        <v>780</v>
      </c>
      <c r="K38" s="4" t="str">
        <f t="shared" si="0"/>
        <v>Importe Normal</v>
      </c>
    </row>
    <row r="39" spans="3:11" x14ac:dyDescent="0.35">
      <c r="C39" s="3">
        <v>36</v>
      </c>
      <c r="D39" s="3" t="s">
        <v>85</v>
      </c>
      <c r="E39" s="4" t="s">
        <v>86</v>
      </c>
      <c r="F39" s="4" t="s">
        <v>76</v>
      </c>
      <c r="G39" s="3" t="s">
        <v>12</v>
      </c>
      <c r="H39" s="4">
        <v>70</v>
      </c>
      <c r="I39" s="5">
        <v>12.5</v>
      </c>
      <c r="J39" s="5">
        <f t="shared" si="1"/>
        <v>875</v>
      </c>
      <c r="K39" s="4" t="str">
        <f t="shared" si="0"/>
        <v>Importe Normal</v>
      </c>
    </row>
    <row r="40" spans="3:11" x14ac:dyDescent="0.35">
      <c r="C40" s="3">
        <v>37</v>
      </c>
      <c r="D40" s="3" t="s">
        <v>87</v>
      </c>
      <c r="E40" s="4" t="s">
        <v>88</v>
      </c>
      <c r="F40" s="4" t="s">
        <v>89</v>
      </c>
      <c r="G40" s="3" t="s">
        <v>12</v>
      </c>
      <c r="H40" s="4">
        <v>80</v>
      </c>
      <c r="I40" s="5">
        <v>11.75</v>
      </c>
      <c r="J40" s="5">
        <f t="shared" si="1"/>
        <v>940</v>
      </c>
      <c r="K40" s="4" t="str">
        <f t="shared" si="0"/>
        <v>Importe Normal</v>
      </c>
    </row>
    <row r="41" spans="3:11" x14ac:dyDescent="0.35">
      <c r="C41" s="3">
        <v>38</v>
      </c>
      <c r="D41" s="3" t="s">
        <v>90</v>
      </c>
      <c r="E41" s="4" t="s">
        <v>91</v>
      </c>
      <c r="F41" s="4" t="s">
        <v>89</v>
      </c>
      <c r="G41" s="3" t="s">
        <v>12</v>
      </c>
      <c r="H41" s="4">
        <v>60</v>
      </c>
      <c r="I41" s="5">
        <v>15.5</v>
      </c>
      <c r="J41" s="5">
        <f t="shared" si="1"/>
        <v>930</v>
      </c>
      <c r="K41" s="4" t="str">
        <f t="shared" si="0"/>
        <v>Importe Normal</v>
      </c>
    </row>
    <row r="42" spans="3:11" x14ac:dyDescent="0.35">
      <c r="C42" s="3">
        <v>39</v>
      </c>
      <c r="D42" s="3" t="s">
        <v>92</v>
      </c>
      <c r="E42" s="4" t="s">
        <v>93</v>
      </c>
      <c r="F42" s="4" t="s">
        <v>89</v>
      </c>
      <c r="G42" s="3" t="s">
        <v>12</v>
      </c>
      <c r="H42" s="4">
        <v>75</v>
      </c>
      <c r="I42" s="5">
        <v>13.25</v>
      </c>
      <c r="J42" s="5">
        <f t="shared" si="1"/>
        <v>993.75</v>
      </c>
      <c r="K42" s="4" t="str">
        <f t="shared" si="0"/>
        <v>Importe Normal</v>
      </c>
    </row>
    <row r="43" spans="3:11" x14ac:dyDescent="0.35">
      <c r="C43" s="3">
        <v>40</v>
      </c>
      <c r="D43" s="3" t="s">
        <v>94</v>
      </c>
      <c r="E43" s="4" t="s">
        <v>95</v>
      </c>
      <c r="F43" s="4" t="s">
        <v>89</v>
      </c>
      <c r="G43" s="3" t="s">
        <v>12</v>
      </c>
      <c r="H43" s="4">
        <v>90</v>
      </c>
      <c r="I43" s="5">
        <v>18.5</v>
      </c>
      <c r="J43" s="5">
        <f t="shared" si="1"/>
        <v>1665</v>
      </c>
      <c r="K43" s="4" t="str">
        <f t="shared" si="0"/>
        <v>Importe Alto</v>
      </c>
    </row>
    <row r="44" spans="3:11" x14ac:dyDescent="0.35">
      <c r="C44" s="3">
        <v>41</v>
      </c>
      <c r="D44" s="3" t="s">
        <v>96</v>
      </c>
      <c r="E44" s="4" t="s">
        <v>97</v>
      </c>
      <c r="F44" s="4" t="s">
        <v>89</v>
      </c>
      <c r="G44" s="3" t="s">
        <v>12</v>
      </c>
      <c r="H44" s="4">
        <v>100</v>
      </c>
      <c r="I44" s="5">
        <v>9.75</v>
      </c>
      <c r="J44" s="5">
        <f t="shared" si="1"/>
        <v>975</v>
      </c>
      <c r="K44" s="4" t="str">
        <f t="shared" si="0"/>
        <v>Importe Normal</v>
      </c>
    </row>
    <row r="45" spans="3:11" x14ac:dyDescent="0.35">
      <c r="C45" s="3">
        <v>42</v>
      </c>
      <c r="D45" s="3" t="s">
        <v>98</v>
      </c>
      <c r="E45" s="4" t="s">
        <v>99</v>
      </c>
      <c r="F45" s="4" t="s">
        <v>89</v>
      </c>
      <c r="G45" s="3" t="s">
        <v>12</v>
      </c>
      <c r="H45" s="4">
        <v>120</v>
      </c>
      <c r="I45" s="5">
        <v>7.5</v>
      </c>
      <c r="J45" s="5">
        <f t="shared" si="1"/>
        <v>900</v>
      </c>
      <c r="K45" s="4" t="str">
        <f t="shared" si="0"/>
        <v>Importe Normal</v>
      </c>
    </row>
    <row r="46" spans="3:11" x14ac:dyDescent="0.35">
      <c r="C46" s="3">
        <v>43</v>
      </c>
      <c r="D46" s="3" t="s">
        <v>100</v>
      </c>
      <c r="E46" s="4" t="s">
        <v>101</v>
      </c>
      <c r="F46" s="4" t="s">
        <v>102</v>
      </c>
      <c r="G46" s="3" t="s">
        <v>12</v>
      </c>
      <c r="H46" s="4">
        <v>85</v>
      </c>
      <c r="I46" s="5">
        <v>22.5</v>
      </c>
      <c r="J46" s="5">
        <f t="shared" si="1"/>
        <v>1912.5</v>
      </c>
      <c r="K46" s="4" t="str">
        <f t="shared" si="0"/>
        <v>Importe Alto</v>
      </c>
    </row>
    <row r="47" spans="3:11" x14ac:dyDescent="0.35">
      <c r="C47" s="3">
        <v>44</v>
      </c>
      <c r="D47" s="3" t="s">
        <v>103</v>
      </c>
      <c r="E47" s="4" t="s">
        <v>104</v>
      </c>
      <c r="F47" s="4" t="s">
        <v>102</v>
      </c>
      <c r="G47" s="3" t="s">
        <v>12</v>
      </c>
      <c r="H47" s="4">
        <v>60</v>
      </c>
      <c r="I47" s="5">
        <v>28</v>
      </c>
      <c r="J47" s="5">
        <f t="shared" si="1"/>
        <v>1680</v>
      </c>
      <c r="K47" s="4" t="str">
        <f t="shared" si="0"/>
        <v>Importe Alto</v>
      </c>
    </row>
    <row r="48" spans="3:11" x14ac:dyDescent="0.35">
      <c r="C48" s="3">
        <v>45</v>
      </c>
      <c r="D48" s="3" t="s">
        <v>105</v>
      </c>
      <c r="E48" s="4" t="s">
        <v>106</v>
      </c>
      <c r="F48" s="4" t="s">
        <v>102</v>
      </c>
      <c r="G48" s="3" t="s">
        <v>107</v>
      </c>
      <c r="H48" s="4">
        <v>120</v>
      </c>
      <c r="I48" s="5">
        <v>8.75</v>
      </c>
      <c r="J48" s="5">
        <f t="shared" si="1"/>
        <v>1050</v>
      </c>
      <c r="K48" s="4" t="str">
        <f t="shared" si="0"/>
        <v>Importe Alto</v>
      </c>
    </row>
    <row r="49" spans="3:11" x14ac:dyDescent="0.35">
      <c r="C49" s="3">
        <v>46</v>
      </c>
      <c r="D49" s="3" t="s">
        <v>108</v>
      </c>
      <c r="E49" s="4" t="s">
        <v>109</v>
      </c>
      <c r="F49" s="4" t="s">
        <v>102</v>
      </c>
      <c r="G49" s="3" t="s">
        <v>110</v>
      </c>
      <c r="H49" s="4">
        <v>90</v>
      </c>
      <c r="I49" s="5">
        <v>12.8</v>
      </c>
      <c r="J49" s="5">
        <f t="shared" si="1"/>
        <v>1152</v>
      </c>
      <c r="K49" s="4" t="str">
        <f t="shared" si="0"/>
        <v>Importe Alto</v>
      </c>
    </row>
    <row r="50" spans="3:11" x14ac:dyDescent="0.35">
      <c r="C50" s="3">
        <v>47</v>
      </c>
      <c r="D50" s="3" t="s">
        <v>111</v>
      </c>
      <c r="E50" s="4" t="s">
        <v>112</v>
      </c>
      <c r="F50" s="4" t="s">
        <v>102</v>
      </c>
      <c r="G50" s="3" t="s">
        <v>113</v>
      </c>
      <c r="H50" s="4">
        <v>75</v>
      </c>
      <c r="I50" s="5">
        <v>16.5</v>
      </c>
      <c r="J50" s="5">
        <f t="shared" si="1"/>
        <v>1237.5</v>
      </c>
      <c r="K50" s="4" t="str">
        <f t="shared" si="0"/>
        <v>Importe Alto</v>
      </c>
    </row>
    <row r="51" spans="3:11" x14ac:dyDescent="0.35">
      <c r="C51" s="3">
        <v>48</v>
      </c>
      <c r="D51" s="3" t="s">
        <v>114</v>
      </c>
      <c r="E51" s="4" t="s">
        <v>115</v>
      </c>
      <c r="F51" s="4" t="s">
        <v>102</v>
      </c>
      <c r="G51" s="3" t="s">
        <v>12</v>
      </c>
      <c r="H51" s="4">
        <v>110</v>
      </c>
      <c r="I51" s="5">
        <v>9.25</v>
      </c>
      <c r="J51" s="5">
        <f t="shared" si="1"/>
        <v>1017.5</v>
      </c>
      <c r="K51" s="4" t="str">
        <f t="shared" si="0"/>
        <v>Importe Alto</v>
      </c>
    </row>
    <row r="52" spans="3:11" x14ac:dyDescent="0.35">
      <c r="C52" s="3">
        <v>49</v>
      </c>
      <c r="D52" s="3" t="s">
        <v>116</v>
      </c>
      <c r="E52" s="4" t="s">
        <v>117</v>
      </c>
      <c r="F52" s="4" t="s">
        <v>102</v>
      </c>
      <c r="G52" s="3" t="s">
        <v>12</v>
      </c>
      <c r="H52" s="4">
        <v>65</v>
      </c>
      <c r="I52" s="5">
        <v>24.5</v>
      </c>
      <c r="J52" s="5">
        <f t="shared" si="1"/>
        <v>1592.5</v>
      </c>
      <c r="K52" s="4" t="str">
        <f t="shared" si="0"/>
        <v>Importe Alto</v>
      </c>
    </row>
    <row r="53" spans="3:11" x14ac:dyDescent="0.35">
      <c r="C53" s="3">
        <v>50</v>
      </c>
      <c r="D53" s="3" t="s">
        <v>118</v>
      </c>
      <c r="E53" s="4" t="s">
        <v>119</v>
      </c>
      <c r="F53" s="4" t="s">
        <v>65</v>
      </c>
      <c r="G53" s="3" t="s">
        <v>12</v>
      </c>
      <c r="H53" s="4">
        <v>100</v>
      </c>
      <c r="I53" s="5">
        <v>10.5</v>
      </c>
      <c r="J53" s="5">
        <f t="shared" si="1"/>
        <v>1050</v>
      </c>
      <c r="K53" s="4" t="str">
        <f t="shared" si="0"/>
        <v>Importe Alto</v>
      </c>
    </row>
    <row r="56" spans="3:11" x14ac:dyDescent="0.35">
      <c r="C56" t="s">
        <v>120</v>
      </c>
      <c r="F56" s="6">
        <f>AVERAGE(I4:I53)</f>
        <v>7.7420000000000009</v>
      </c>
    </row>
    <row r="57" spans="3:11" x14ac:dyDescent="0.35">
      <c r="C57" t="s">
        <v>121</v>
      </c>
      <c r="F57">
        <f>COUNTA(E4:E53)</f>
        <v>50</v>
      </c>
    </row>
    <row r="58" spans="3:11" x14ac:dyDescent="0.35">
      <c r="C58" t="s">
        <v>122</v>
      </c>
      <c r="F58" s="7">
        <f>SUMIF(G4:G53,"México",J4:J53)</f>
        <v>36919.5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46BD-09B0-4B7D-9F69-F589B9F0EC5B}">
  <dimension ref="B2:C61"/>
  <sheetViews>
    <sheetView tabSelected="1" zoomScale="74" workbookViewId="0">
      <selection activeCell="B9" sqref="B9"/>
    </sheetView>
  </sheetViews>
  <sheetFormatPr baseColWidth="10" defaultRowHeight="14.5" x14ac:dyDescent="0.35"/>
  <cols>
    <col min="2" max="2" width="79.7265625" customWidth="1"/>
    <col min="3" max="3" width="116" customWidth="1"/>
  </cols>
  <sheetData>
    <row r="2" spans="2:3" x14ac:dyDescent="0.35">
      <c r="B2" s="8" t="s">
        <v>123</v>
      </c>
      <c r="C2" s="17">
        <f>SUM(Datos_Importación!J4:J53)</f>
        <v>40359</v>
      </c>
    </row>
    <row r="3" spans="2:3" x14ac:dyDescent="0.35">
      <c r="B3" s="8" t="s">
        <v>124</v>
      </c>
      <c r="C3" s="16" t="s">
        <v>101</v>
      </c>
    </row>
    <row r="4" spans="2:3" x14ac:dyDescent="0.35">
      <c r="B4" s="8" t="s">
        <v>125</v>
      </c>
      <c r="C4" s="18">
        <f>AVERAGE(Datos_Importación!I4:I53)</f>
        <v>7.7420000000000009</v>
      </c>
    </row>
    <row r="5" spans="2:3" x14ac:dyDescent="0.35">
      <c r="B5" s="8" t="s">
        <v>126</v>
      </c>
      <c r="C5" s="19">
        <f>COUNTA(Datos_Importación!E4:E53)</f>
        <v>50</v>
      </c>
    </row>
    <row r="6" spans="2:3" x14ac:dyDescent="0.35">
      <c r="B6" s="12" t="s">
        <v>127</v>
      </c>
      <c r="C6" s="13" t="s">
        <v>131</v>
      </c>
    </row>
    <row r="7" spans="2:3" x14ac:dyDescent="0.35">
      <c r="B7" s="12"/>
      <c r="C7" s="14" t="s">
        <v>132</v>
      </c>
    </row>
    <row r="8" spans="2:3" x14ac:dyDescent="0.35">
      <c r="B8" s="12"/>
      <c r="C8" s="15" t="s">
        <v>133</v>
      </c>
    </row>
    <row r="10" spans="2:3" x14ac:dyDescent="0.35">
      <c r="B10" s="9" t="s">
        <v>128</v>
      </c>
      <c r="C10" t="s">
        <v>130</v>
      </c>
    </row>
    <row r="11" spans="2:3" x14ac:dyDescent="0.35">
      <c r="B11" s="10" t="s">
        <v>101</v>
      </c>
      <c r="C11" s="11">
        <v>1912.5</v>
      </c>
    </row>
    <row r="12" spans="2:3" x14ac:dyDescent="0.35">
      <c r="B12" s="10" t="s">
        <v>104</v>
      </c>
      <c r="C12" s="11">
        <v>1680</v>
      </c>
    </row>
    <row r="13" spans="2:3" x14ac:dyDescent="0.35">
      <c r="B13" s="10" t="s">
        <v>95</v>
      </c>
      <c r="C13" s="11">
        <v>1665</v>
      </c>
    </row>
    <row r="14" spans="2:3" x14ac:dyDescent="0.35">
      <c r="B14" s="10" t="s">
        <v>117</v>
      </c>
      <c r="C14" s="11">
        <v>1592.5</v>
      </c>
    </row>
    <row r="15" spans="2:3" x14ac:dyDescent="0.35">
      <c r="B15" s="10" t="s">
        <v>64</v>
      </c>
      <c r="C15" s="11">
        <v>1250</v>
      </c>
    </row>
    <row r="16" spans="2:3" x14ac:dyDescent="0.35">
      <c r="B16" s="10" t="s">
        <v>112</v>
      </c>
      <c r="C16" s="11">
        <v>1237.5</v>
      </c>
    </row>
    <row r="17" spans="2:3" x14ac:dyDescent="0.35">
      <c r="B17" s="10" t="s">
        <v>109</v>
      </c>
      <c r="C17" s="11">
        <v>1152</v>
      </c>
    </row>
    <row r="18" spans="2:3" x14ac:dyDescent="0.35">
      <c r="B18" s="10" t="s">
        <v>119</v>
      </c>
      <c r="C18" s="11">
        <v>1050</v>
      </c>
    </row>
    <row r="19" spans="2:3" x14ac:dyDescent="0.35">
      <c r="B19" s="10" t="s">
        <v>106</v>
      </c>
      <c r="C19" s="11">
        <v>1050</v>
      </c>
    </row>
    <row r="20" spans="2:3" x14ac:dyDescent="0.35">
      <c r="B20" s="10" t="s">
        <v>24</v>
      </c>
      <c r="C20" s="11">
        <v>1045</v>
      </c>
    </row>
    <row r="21" spans="2:3" x14ac:dyDescent="0.35">
      <c r="B21" s="10" t="s">
        <v>115</v>
      </c>
      <c r="C21" s="11">
        <v>1017.5</v>
      </c>
    </row>
    <row r="22" spans="2:3" x14ac:dyDescent="0.35">
      <c r="B22" s="10" t="s">
        <v>93</v>
      </c>
      <c r="C22" s="11">
        <v>993.75</v>
      </c>
    </row>
    <row r="23" spans="2:3" x14ac:dyDescent="0.35">
      <c r="B23" s="10" t="s">
        <v>97</v>
      </c>
      <c r="C23" s="11">
        <v>975</v>
      </c>
    </row>
    <row r="24" spans="2:3" x14ac:dyDescent="0.35">
      <c r="B24" s="10" t="s">
        <v>20</v>
      </c>
      <c r="C24" s="11">
        <v>972.00000000000011</v>
      </c>
    </row>
    <row r="25" spans="2:3" x14ac:dyDescent="0.35">
      <c r="B25" s="10" t="s">
        <v>88</v>
      </c>
      <c r="C25" s="11">
        <v>940</v>
      </c>
    </row>
    <row r="26" spans="2:3" x14ac:dyDescent="0.35">
      <c r="B26" s="10" t="s">
        <v>91</v>
      </c>
      <c r="C26" s="11">
        <v>930</v>
      </c>
    </row>
    <row r="27" spans="2:3" x14ac:dyDescent="0.35">
      <c r="B27" s="10" t="s">
        <v>99</v>
      </c>
      <c r="C27" s="11">
        <v>900</v>
      </c>
    </row>
    <row r="28" spans="2:3" x14ac:dyDescent="0.35">
      <c r="B28" s="10" t="s">
        <v>86</v>
      </c>
      <c r="C28" s="11">
        <v>875</v>
      </c>
    </row>
    <row r="29" spans="2:3" x14ac:dyDescent="0.35">
      <c r="B29" s="10" t="s">
        <v>84</v>
      </c>
      <c r="C29" s="11">
        <v>780</v>
      </c>
    </row>
    <row r="30" spans="2:3" x14ac:dyDescent="0.35">
      <c r="B30" s="10" t="s">
        <v>53</v>
      </c>
      <c r="C30" s="11">
        <v>765</v>
      </c>
    </row>
    <row r="31" spans="2:3" x14ac:dyDescent="0.35">
      <c r="B31" s="10" t="s">
        <v>73</v>
      </c>
      <c r="C31" s="11">
        <v>760</v>
      </c>
    </row>
    <row r="32" spans="2:3" x14ac:dyDescent="0.35">
      <c r="B32" s="10" t="s">
        <v>14</v>
      </c>
      <c r="C32" s="11">
        <v>743.75</v>
      </c>
    </row>
    <row r="33" spans="2:3" x14ac:dyDescent="0.35">
      <c r="B33" s="10" t="s">
        <v>62</v>
      </c>
      <c r="C33" s="11">
        <v>740</v>
      </c>
    </row>
    <row r="34" spans="2:3" x14ac:dyDescent="0.35">
      <c r="B34" s="10" t="s">
        <v>71</v>
      </c>
      <c r="C34" s="11">
        <v>721</v>
      </c>
    </row>
    <row r="35" spans="2:3" x14ac:dyDescent="0.35">
      <c r="B35" s="10" t="s">
        <v>56</v>
      </c>
      <c r="C35" s="11">
        <v>720</v>
      </c>
    </row>
    <row r="36" spans="2:3" x14ac:dyDescent="0.35">
      <c r="B36" s="10" t="s">
        <v>75</v>
      </c>
      <c r="C36" s="11">
        <v>687.5</v>
      </c>
    </row>
    <row r="37" spans="2:3" x14ac:dyDescent="0.35">
      <c r="B37" s="10" t="s">
        <v>58</v>
      </c>
      <c r="C37" s="11">
        <v>682.5</v>
      </c>
    </row>
    <row r="38" spans="2:3" x14ac:dyDescent="0.35">
      <c r="B38" s="10" t="s">
        <v>42</v>
      </c>
      <c r="C38" s="11">
        <v>648</v>
      </c>
    </row>
    <row r="39" spans="2:3" x14ac:dyDescent="0.35">
      <c r="B39" s="10" t="s">
        <v>22</v>
      </c>
      <c r="C39" s="11">
        <v>646</v>
      </c>
    </row>
    <row r="40" spans="2:3" x14ac:dyDescent="0.35">
      <c r="B40" s="10" t="s">
        <v>34</v>
      </c>
      <c r="C40" s="11">
        <v>638</v>
      </c>
    </row>
    <row r="41" spans="2:3" x14ac:dyDescent="0.35">
      <c r="B41" s="10" t="s">
        <v>67</v>
      </c>
      <c r="C41" s="11">
        <v>612.5</v>
      </c>
    </row>
    <row r="42" spans="2:3" x14ac:dyDescent="0.35">
      <c r="B42" s="10" t="s">
        <v>26</v>
      </c>
      <c r="C42" s="11">
        <v>600</v>
      </c>
    </row>
    <row r="43" spans="2:3" x14ac:dyDescent="0.35">
      <c r="B43" s="10" t="s">
        <v>36</v>
      </c>
      <c r="C43" s="11">
        <v>600</v>
      </c>
    </row>
    <row r="44" spans="2:3" x14ac:dyDescent="0.35">
      <c r="B44" s="10" t="s">
        <v>78</v>
      </c>
      <c r="C44" s="11">
        <v>576</v>
      </c>
    </row>
    <row r="45" spans="2:3" x14ac:dyDescent="0.35">
      <c r="B45" s="10" t="s">
        <v>18</v>
      </c>
      <c r="C45" s="11">
        <v>570</v>
      </c>
    </row>
    <row r="46" spans="2:3" x14ac:dyDescent="0.35">
      <c r="B46" s="10" t="s">
        <v>28</v>
      </c>
      <c r="C46" s="11">
        <v>552.5</v>
      </c>
    </row>
    <row r="47" spans="2:3" x14ac:dyDescent="0.35">
      <c r="B47" s="10" t="s">
        <v>69</v>
      </c>
      <c r="C47" s="11">
        <v>552</v>
      </c>
    </row>
    <row r="48" spans="2:3" x14ac:dyDescent="0.35">
      <c r="B48" s="10" t="s">
        <v>32</v>
      </c>
      <c r="C48" s="11">
        <v>543.75</v>
      </c>
    </row>
    <row r="49" spans="2:3" x14ac:dyDescent="0.35">
      <c r="B49" s="10" t="s">
        <v>10</v>
      </c>
      <c r="C49" s="11">
        <v>540</v>
      </c>
    </row>
    <row r="50" spans="2:3" x14ac:dyDescent="0.35">
      <c r="B50" s="10" t="s">
        <v>47</v>
      </c>
      <c r="C50" s="11">
        <v>540</v>
      </c>
    </row>
    <row r="51" spans="2:3" x14ac:dyDescent="0.35">
      <c r="B51" s="10" t="s">
        <v>38</v>
      </c>
      <c r="C51" s="11">
        <v>539</v>
      </c>
    </row>
    <row r="52" spans="2:3" x14ac:dyDescent="0.35">
      <c r="B52" s="10" t="s">
        <v>60</v>
      </c>
      <c r="C52" s="11">
        <v>531</v>
      </c>
    </row>
    <row r="53" spans="2:3" x14ac:dyDescent="0.35">
      <c r="B53" s="10" t="s">
        <v>45</v>
      </c>
      <c r="C53" s="11">
        <v>520</v>
      </c>
    </row>
    <row r="54" spans="2:3" x14ac:dyDescent="0.35">
      <c r="B54" s="10" t="s">
        <v>30</v>
      </c>
      <c r="C54" s="11">
        <v>503.99999999999994</v>
      </c>
    </row>
    <row r="55" spans="2:3" x14ac:dyDescent="0.35">
      <c r="B55" s="10" t="s">
        <v>51</v>
      </c>
      <c r="C55" s="11">
        <v>493.75</v>
      </c>
    </row>
    <row r="56" spans="2:3" x14ac:dyDescent="0.35">
      <c r="B56" s="10" t="s">
        <v>40</v>
      </c>
      <c r="C56" s="11">
        <v>490.00000000000006</v>
      </c>
    </row>
    <row r="57" spans="2:3" x14ac:dyDescent="0.35">
      <c r="B57" s="10" t="s">
        <v>16</v>
      </c>
      <c r="C57" s="11">
        <v>480</v>
      </c>
    </row>
    <row r="58" spans="2:3" x14ac:dyDescent="0.35">
      <c r="B58" s="10" t="s">
        <v>49</v>
      </c>
      <c r="C58" s="11">
        <v>460</v>
      </c>
    </row>
    <row r="59" spans="2:3" x14ac:dyDescent="0.35">
      <c r="B59" s="10" t="s">
        <v>80</v>
      </c>
      <c r="C59" s="11">
        <v>450</v>
      </c>
    </row>
    <row r="60" spans="2:3" x14ac:dyDescent="0.35">
      <c r="B60" s="10" t="s">
        <v>82</v>
      </c>
      <c r="C60" s="11">
        <v>435</v>
      </c>
    </row>
    <row r="61" spans="2:3" x14ac:dyDescent="0.35">
      <c r="B61" s="10" t="s">
        <v>129</v>
      </c>
      <c r="C61" s="11">
        <v>40359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Huete</cp:lastModifiedBy>
  <dcterms:created xsi:type="dcterms:W3CDTF">2026-09-15T18:58:39Z</dcterms:created>
  <dcterms:modified xsi:type="dcterms:W3CDTF">2026-09-17T14:24:10Z</dcterms:modified>
</cp:coreProperties>
</file>